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newapp\"/>
    </mc:Choice>
  </mc:AlternateContent>
  <xr:revisionPtr revIDLastSave="0" documentId="13_ncr:1_{35085482-3C14-4F8D-A4F1-1101F52CDF5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B3" i="3"/>
  <c r="B4" i="3"/>
  <c r="C2" i="4"/>
  <c r="C3" i="4" s="1"/>
  <c r="D3" i="3"/>
  <c r="D4" i="3" s="1"/>
  <c r="B2" i="4"/>
  <c r="C3" i="3"/>
  <c r="D2" i="4"/>
  <c r="C4" i="3"/>
  <c r="I57" i="2"/>
  <c r="J57" i="2"/>
  <c r="B12" i="3"/>
  <c r="H57" i="2"/>
  <c r="J53" i="5"/>
  <c r="I53" i="5"/>
  <c r="H53" i="5"/>
  <c r="G53" i="5"/>
  <c r="F53" i="5"/>
  <c r="E53" i="5"/>
  <c r="D53" i="5"/>
  <c r="C53" i="5"/>
  <c r="B53" i="5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57" i="2" l="1"/>
</calcChain>
</file>

<file path=xl/sharedStrings.xml><?xml version="1.0" encoding="utf-8"?>
<sst xmlns="http://schemas.openxmlformats.org/spreadsheetml/2006/main" count="367" uniqueCount="124">
  <si>
    <t>Ligne</t>
  </si>
  <si>
    <t>Total</t>
  </si>
  <si>
    <t>11/5</t>
  </si>
  <si>
    <t>12/5</t>
  </si>
  <si>
    <t>13/5</t>
  </si>
  <si>
    <t>14/5</t>
  </si>
  <si>
    <t>15/5</t>
  </si>
  <si>
    <t>16/5</t>
  </si>
  <si>
    <t>17/5</t>
  </si>
  <si>
    <t>18/5</t>
  </si>
  <si>
    <t>ETU003362</t>
  </si>
  <si>
    <t>Tojo</t>
  </si>
  <si>
    <t>Categorie</t>
  </si>
  <si>
    <t>Module</t>
  </si>
  <si>
    <t>Page</t>
  </si>
  <si>
    <t>Description tache</t>
  </si>
  <si>
    <t>Type</t>
  </si>
  <si>
    <t>Qui</t>
  </si>
  <si>
    <t>Estimation</t>
  </si>
  <si>
    <t>Temps passe</t>
  </si>
  <si>
    <t>Reste a faire</t>
  </si>
  <si>
    <t>Avancement</t>
  </si>
  <si>
    <t>Front-end</t>
  </si>
  <si>
    <t>Auth Client</t>
  </si>
  <si>
    <t>Affichage</t>
  </si>
  <si>
    <t>Integration</t>
  </si>
  <si>
    <t>Metier</t>
  </si>
  <si>
    <t>Catalogue</t>
  </si>
  <si>
    <t>Panier</t>
  </si>
  <si>
    <t>Base</t>
  </si>
  <si>
    <t>Mes commandes</t>
  </si>
  <si>
    <t>Backoffice</t>
  </si>
  <si>
    <t>Auth Admin</t>
  </si>
  <si>
    <t>Tableau de bord</t>
  </si>
  <si>
    <t>Import CSV</t>
  </si>
  <si>
    <t>SUM of Estimation</t>
  </si>
  <si>
    <t>SUM of Temps passe</t>
  </si>
  <si>
    <t>SUM of Reste a faire</t>
  </si>
  <si>
    <t>Total general</t>
  </si>
  <si>
    <t>estimation total</t>
  </si>
  <si>
    <t>temps passe total</t>
  </si>
  <si>
    <t>reste a faire total</t>
  </si>
  <si>
    <t>avancement</t>
  </si>
  <si>
    <t>depassement</t>
  </si>
  <si>
    <t>heure</t>
  </si>
  <si>
    <t>prestashopApi.js</t>
  </si>
  <si>
    <t>Pagination fetchAllPages - import 500+ lignes sans crash via limit=offset,count</t>
  </si>
  <si>
    <t>Reinitialisation</t>
  </si>
  <si>
    <t>delete_orders/customers/products.php</t>
  </si>
  <si>
    <t>Endpoints PHP suppression directe SQL - contourne WS 404 orders/customers/products</t>
  </si>
  <si>
    <t>Commandes</t>
  </si>
  <si>
    <t>Commandes.jsx</t>
  </si>
  <si>
    <t>Machine 4 etats Panier/Paiement/Livre/Annule + boutons Livrer et Annuler</t>
  </si>
  <si>
    <t>Dashboard.jsx</t>
  </si>
  <si>
    <t>Reinitialisation.jsx</t>
  </si>
  <si>
    <t>UI 4 modules suppression - confirmation double clic avant action irreversible</t>
  </si>
  <si>
    <t>Suppression categories WS DELETE - tri inverse profondeur evite contrainte FK parent</t>
  </si>
  <si>
    <t>API</t>
  </si>
  <si>
    <t>loginCustomer filtre email PS WS - evite chargement total clients - filtre active et deleted</t>
  </si>
  <si>
    <t>ensureGuestUser - creation user1@newapp.com au demarrage ShopLogin si inexistant</t>
  </si>
  <si>
    <t>ShopLogin.jsx</t>
  </si>
  <si>
    <t>UI page selection utilisateur - liste clients boutons + option anonyme en haut</t>
  </si>
  <si>
    <t>Chargement clients getCustomers - filtrage active=1 et exclusion email anonyme@psgdpr.com</t>
  </si>
  <si>
    <t>Session client sessionStorage via loginAsCustomerDirect - mode demo sans verification mdp</t>
  </si>
  <si>
    <t>AuthContext.jsx</t>
  </si>
  <si>
    <t>Contexte double session employee+customer sessionStorage - loginAsCustomerDirect + logout</t>
  </si>
  <si>
    <t>Accueil.jsx</t>
  </si>
  <si>
    <t>UI grille 4 colonnes - image prix HT badge stock badge HOT/NEW selon available_date</t>
  </si>
  <si>
    <t>getProducts + getCategories + getStockAvailables - stockMap id_product id_attr=0</t>
  </si>
  <si>
    <t>Filtres categorie boutons + plage prix min/max + recherche nom en temps reel</t>
  </si>
  <si>
    <t>Fiche produit</t>
  </si>
  <si>
    <t>FicheProduit.jsx</t>
  </si>
  <si>
    <t>UI detail - image description prix ajuste marque poids etat et stock restant</t>
  </si>
  <si>
    <t>fetchProductCombinations - groupes options valeurs stock par variante et priceImpact</t>
  </si>
  <si>
    <t>Selection variante obligatoire - addToCart avec combinationId et validation stock</t>
  </si>
  <si>
    <t>Panier.jsx</t>
  </si>
  <si>
    <t>UI panier - liste articles quantite prix unitaire sous-total recapitulatif sticky</t>
  </si>
  <si>
    <t>Modification quantite suppression article vider panier via CartContext</t>
  </si>
  <si>
    <t>CartContext.jsx</t>
  </si>
  <si>
    <t>Store panier React Context - addToCart updateQuantity removeFromCart clearCart total</t>
  </si>
  <si>
    <t>Commande</t>
  </si>
  <si>
    <t>Commande.jsx</t>
  </si>
  <si>
    <t>UI validation - formulaire infos personnelles adresse livraison mode paiement</t>
  </si>
  <si>
    <t>Mur connexion si anonyme - redirect /shop-login?redirect=/commande - panier preserve</t>
  </si>
  <si>
    <t>createOrderFromData client PS / createOrder anonyme via callOrderPhp order.php</t>
  </si>
  <si>
    <t>Confirmation.jsx</t>
  </si>
  <si>
    <t>Page confirmation commande - succes panier vide - liens mes commandes et catalogue</t>
  </si>
  <si>
    <t>MesCommandes.jsx</t>
  </si>
  <si>
    <t>UI liste commandes - badge etat timeline 5 etapes visuelle et detail expandable articles</t>
  </si>
  <si>
    <t>getOrders filtre par id_customer - tri descendant date_add - affichage order_rows</t>
  </si>
  <si>
    <t>Etats annule/rembourse/echec - badge specifique sans timeline - icones par etat</t>
  </si>
  <si>
    <t>Login.jsx</t>
  </si>
  <si>
    <t>UI login admin - formulaire identifiant + mot de passe - session sessionStorage</t>
  </si>
  <si>
    <t>ProtectedRoute + CustomerProtectedRoute - redirection si non authentifie</t>
  </si>
  <si>
    <t>KPIs - total commandes CA panier moyen commandes en attente etats 2+5</t>
  </si>
  <si>
    <t>Graphe CA 7 jours - regroupement commandes par date barres verticales SVG</t>
  </si>
  <si>
    <t>Fix KPIs bloques sur chargement - setLoading dans finally et condition loading corrigee</t>
  </si>
  <si>
    <t>Stats commerciales par categorie - ventes HT achats HT benefice marge via order_details</t>
  </si>
  <si>
    <t>UI tableau commandes - reference client total date badge etat - filtre recherche</t>
  </si>
  <si>
    <t>changeOrderStatePS via change_state.php - toast notification succes/erreur</t>
  </si>
  <si>
    <t>BackofficeLayout.jsx</t>
  </si>
  <si>
    <t>Navigation sidebar backoffice - liens dashboard commandes stocks import - deconnexion</t>
  </si>
  <si>
    <t>Stocks</t>
  </si>
  <si>
    <t>Stocks.jsx</t>
  </si>
  <si>
    <t>UI liste produits - stock actuel - champ saisie quantite ajout par produit</t>
  </si>
  <si>
    <t>Ajout stock upsertStockAvailable PUT stock_availables avec retry 3 tentatives</t>
  </si>
  <si>
    <t>Historique stock localStorage 30 jours - graphe barres 14 jours par produit</t>
  </si>
  <si>
    <t>Recherche produit par nom ou reference - filtre temps reel useMemo</t>
  </si>
  <si>
    <t>Import.jsx</t>
  </si>
  <si>
    <t>UI upload ZIP - apercu lignes CSV et log progression par module en temps reel</t>
  </si>
  <si>
    <t>parseCsvRobust - detection separateur auto - normalisation headers avec diacritiques</t>
  </si>
  <si>
    <t>importProducts POST product - prix HT categorie TVA available_date image ZIP</t>
  </si>
  <si>
    <t>Import variantes - createAttributeGroup/Value/Combination updateCombinationStock</t>
  </si>
  <si>
    <t>Import clients POST customers + getCustomerByEmail pour eviter doublons par email</t>
  </si>
  <si>
    <t>Import commandes createOrderFromData via order.php + date GET puis PUT date_add</t>
  </si>
  <si>
    <t>detectModuleFromHeaders - detection auto module CSV selon colonnes presentes dans header</t>
  </si>
  <si>
    <t>Cache refMap step1 - produits et prix evite doublons et appels API redondants</t>
  </si>
  <si>
    <t>Cache variantPriceMap - prix TTC variants step1 avant creation commandes</t>
  </si>
  <si>
    <t>Cache variantCombMap - ID combination PS pour remplir panier commandes</t>
  </si>
  <si>
    <t>Taux TVA corriges par groupe PS - groupe 1=20pct groupe 2=10pct depuis colonne taxe CSV</t>
  </si>
  <si>
    <t>Date commande CSV - GET order puis PUT date_add car PS ignore la date au POST</t>
  </si>
  <si>
    <t>findOrCreateCategory - recherche ou creation categorie PS depuis colonne CSV produits</t>
  </si>
  <si>
    <t>Stats par categorie ventes HT achats HT benefice marge via order_details WS</t>
  </si>
  <si>
    <t>Tableau stock par categorie Qte physique reservee disponible via stock_available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</si>
</sst>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.0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6AC4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EED7B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AEF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/>
    </xf>
    <xf numFmtId="9" fontId="0" fillId="0" borderId="0" xfId="0" applyNumberFormat="1"/>
    <xf numFmtId="0" fontId="0" fillId="3" borderId="0" xfId="0" applyFill="1"/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0" fontId="2" fillId="5" borderId="0" xfId="0" applyFont="1" applyFill="1" applyAlignment="1">
      <alignment horizontal="center"/>
    </xf>
    <xf numFmtId="9" fontId="2" fillId="5" borderId="0" xfId="0" applyNumberFormat="1" applyFont="1" applyFill="1" applyAlignment="1">
      <alignment horizontal="center"/>
    </xf>
    <xf numFmtId="0" fontId="4" fillId="6" borderId="0" xfId="0" applyFont="1" applyFill="1"/>
    <xf numFmtId="0" fontId="1" fillId="7" borderId="0" xfId="0" applyFont="1" applyFill="1"/>
    <xf numFmtId="164" fontId="0" fillId="0" borderId="0" xfId="0" applyNumberFormat="1"/>
    <xf numFmtId="0" fontId="1" fillId="8" borderId="0" xfId="0" applyFont="1" applyFill="1" applyAlignment="1">
      <alignment horizontal="center"/>
    </xf>
    <xf numFmtId="0" fontId="2" fillId="5" borderId="0" xfId="0" applyFont="1" applyFill="1"/>
    <xf numFmtId="0" fontId="0" fillId="0" borderId="0" xfId="0"/>
    <xf numFmtId="10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baseColWidth="10" defaultRowHeight="15" x14ac:dyDescent="0.25"/>
  <sheetData>
    <row r="1" spans="1:2" x14ac:dyDescent="0.25">
      <c r="A1" s="1" t="s">
        <v>10</v>
      </c>
      <c r="B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"/>
  <sheetViews>
    <sheetView tabSelected="1" topLeftCell="A26" workbookViewId="0">
      <selection activeCell="K57" sqref="K57"/>
    </sheetView>
  </sheetViews>
  <sheetFormatPr baseColWidth="10" defaultRowHeight="15" x14ac:dyDescent="0.25"/>
  <cols>
    <col min="1" max="1" width="7.7109375" customWidth="1"/>
    <col min="2" max="2" width="16.7109375" customWidth="1"/>
    <col min="3" max="3" width="20.7109375" customWidth="1"/>
    <col min="4" max="4" width="24.7109375" customWidth="1"/>
    <col min="5" max="5" width="72.7109375" customWidth="1"/>
    <col min="6" max="11" width="13.7109375" customWidth="1"/>
  </cols>
  <sheetData>
    <row r="1" spans="1:11" ht="24" customHeight="1" x14ac:dyDescent="0.25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</row>
    <row r="2" spans="1:11" x14ac:dyDescent="0.25">
      <c r="A2" s="5">
        <v>1</v>
      </c>
      <c r="B2" s="4" t="s">
        <v>22</v>
      </c>
      <c r="C2" s="4" t="s">
        <v>23</v>
      </c>
      <c r="D2" s="4" t="s">
        <v>60</v>
      </c>
      <c r="E2" s="4" t="s">
        <v>61</v>
      </c>
      <c r="F2" s="5" t="s">
        <v>24</v>
      </c>
      <c r="G2" s="5" t="s">
        <v>10</v>
      </c>
      <c r="H2" s="5">
        <v>20</v>
      </c>
      <c r="I2" s="5">
        <v>20</v>
      </c>
      <c r="J2" s="5">
        <v>0</v>
      </c>
      <c r="K2" s="6">
        <f t="shared" ref="K2:K47" si="0">IF(H2=0,0,(H2-J2)/H2)</f>
        <v>1</v>
      </c>
    </row>
    <row r="3" spans="1:11" x14ac:dyDescent="0.25">
      <c r="A3" s="8">
        <v>2</v>
      </c>
      <c r="B3" s="7" t="s">
        <v>22</v>
      </c>
      <c r="C3" s="7" t="s">
        <v>23</v>
      </c>
      <c r="D3" s="7" t="s">
        <v>60</v>
      </c>
      <c r="E3" s="7" t="s">
        <v>62</v>
      </c>
      <c r="F3" s="8" t="s">
        <v>25</v>
      </c>
      <c r="G3" s="8" t="s">
        <v>10</v>
      </c>
      <c r="H3" s="8">
        <v>25</v>
      </c>
      <c r="I3" s="8">
        <v>31</v>
      </c>
      <c r="J3" s="8">
        <v>0</v>
      </c>
      <c r="K3" s="9">
        <f t="shared" si="0"/>
        <v>1</v>
      </c>
    </row>
    <row r="4" spans="1:11" x14ac:dyDescent="0.25">
      <c r="A4" s="5">
        <v>3</v>
      </c>
      <c r="B4" s="4" t="s">
        <v>22</v>
      </c>
      <c r="C4" s="4" t="s">
        <v>23</v>
      </c>
      <c r="D4" s="4" t="s">
        <v>60</v>
      </c>
      <c r="E4" s="4" t="s">
        <v>63</v>
      </c>
      <c r="F4" s="5" t="s">
        <v>26</v>
      </c>
      <c r="G4" s="5" t="s">
        <v>10</v>
      </c>
      <c r="H4" s="5">
        <v>15</v>
      </c>
      <c r="I4" s="5">
        <v>13</v>
      </c>
      <c r="J4" s="5">
        <v>0</v>
      </c>
      <c r="K4" s="6">
        <f t="shared" si="0"/>
        <v>1</v>
      </c>
    </row>
    <row r="5" spans="1:11" x14ac:dyDescent="0.25">
      <c r="A5" s="8">
        <v>4</v>
      </c>
      <c r="B5" s="7" t="s">
        <v>22</v>
      </c>
      <c r="C5" s="7" t="s">
        <v>23</v>
      </c>
      <c r="D5" s="7" t="s">
        <v>64</v>
      </c>
      <c r="E5" s="7" t="s">
        <v>65</v>
      </c>
      <c r="F5" s="8" t="s">
        <v>26</v>
      </c>
      <c r="G5" s="8" t="s">
        <v>10</v>
      </c>
      <c r="H5" s="8">
        <v>15</v>
      </c>
      <c r="I5" s="8">
        <v>19</v>
      </c>
      <c r="J5" s="8">
        <v>10</v>
      </c>
      <c r="K5" s="9">
        <f t="shared" si="0"/>
        <v>0.33333333333333331</v>
      </c>
    </row>
    <row r="6" spans="1:11" x14ac:dyDescent="0.25">
      <c r="A6" s="5">
        <v>5</v>
      </c>
      <c r="B6" s="4" t="s">
        <v>22</v>
      </c>
      <c r="C6" s="4" t="s">
        <v>27</v>
      </c>
      <c r="D6" s="4" t="s">
        <v>66</v>
      </c>
      <c r="E6" s="4" t="s">
        <v>67</v>
      </c>
      <c r="F6" s="5" t="s">
        <v>24</v>
      </c>
      <c r="G6" s="5" t="s">
        <v>10</v>
      </c>
      <c r="H6" s="5">
        <v>30</v>
      </c>
      <c r="I6" s="5">
        <v>26</v>
      </c>
      <c r="J6" s="5">
        <v>0</v>
      </c>
      <c r="K6" s="6">
        <f t="shared" si="0"/>
        <v>1</v>
      </c>
    </row>
    <row r="7" spans="1:11" x14ac:dyDescent="0.25">
      <c r="A7" s="8">
        <v>6</v>
      </c>
      <c r="B7" s="7" t="s">
        <v>22</v>
      </c>
      <c r="C7" s="7" t="s">
        <v>27</v>
      </c>
      <c r="D7" s="7" t="s">
        <v>66</v>
      </c>
      <c r="E7" s="7" t="s">
        <v>68</v>
      </c>
      <c r="F7" s="8" t="s">
        <v>25</v>
      </c>
      <c r="G7" s="8" t="s">
        <v>10</v>
      </c>
      <c r="H7" s="8">
        <v>25</v>
      </c>
      <c r="I7" s="8">
        <v>27</v>
      </c>
      <c r="J7" s="8">
        <v>0</v>
      </c>
      <c r="K7" s="9">
        <f t="shared" si="0"/>
        <v>1</v>
      </c>
    </row>
    <row r="8" spans="1:11" x14ac:dyDescent="0.25">
      <c r="A8" s="5">
        <v>7</v>
      </c>
      <c r="B8" s="4" t="s">
        <v>22</v>
      </c>
      <c r="C8" s="4" t="s">
        <v>27</v>
      </c>
      <c r="D8" s="4" t="s">
        <v>66</v>
      </c>
      <c r="E8" s="4" t="s">
        <v>69</v>
      </c>
      <c r="F8" s="5" t="s">
        <v>26</v>
      </c>
      <c r="G8" s="5" t="s">
        <v>10</v>
      </c>
      <c r="H8" s="5">
        <v>20</v>
      </c>
      <c r="I8" s="5">
        <v>14</v>
      </c>
      <c r="J8" s="5">
        <v>0</v>
      </c>
      <c r="K8" s="6">
        <f t="shared" si="0"/>
        <v>1</v>
      </c>
    </row>
    <row r="9" spans="1:11" x14ac:dyDescent="0.25">
      <c r="A9" s="8">
        <v>8</v>
      </c>
      <c r="B9" s="7" t="s">
        <v>22</v>
      </c>
      <c r="C9" s="7" t="s">
        <v>70</v>
      </c>
      <c r="D9" s="7" t="s">
        <v>71</v>
      </c>
      <c r="E9" s="7" t="s">
        <v>72</v>
      </c>
      <c r="F9" s="8" t="s">
        <v>24</v>
      </c>
      <c r="G9" s="8" t="s">
        <v>10</v>
      </c>
      <c r="H9" s="8">
        <v>25</v>
      </c>
      <c r="I9" s="8">
        <v>25</v>
      </c>
      <c r="J9" s="8">
        <v>0</v>
      </c>
      <c r="K9" s="9">
        <f t="shared" si="0"/>
        <v>1</v>
      </c>
    </row>
    <row r="10" spans="1:11" x14ac:dyDescent="0.25">
      <c r="A10" s="5">
        <v>9</v>
      </c>
      <c r="B10" s="4" t="s">
        <v>22</v>
      </c>
      <c r="C10" s="4" t="s">
        <v>70</v>
      </c>
      <c r="D10" s="4" t="s">
        <v>71</v>
      </c>
      <c r="E10" s="4" t="s">
        <v>73</v>
      </c>
      <c r="F10" s="5" t="s">
        <v>25</v>
      </c>
      <c r="G10" s="5" t="s">
        <v>10</v>
      </c>
      <c r="H10" s="5">
        <v>30</v>
      </c>
      <c r="I10" s="5">
        <v>36</v>
      </c>
      <c r="J10" s="5">
        <v>5</v>
      </c>
      <c r="K10" s="6">
        <f t="shared" si="0"/>
        <v>0.83333333333333337</v>
      </c>
    </row>
    <row r="11" spans="1:11" x14ac:dyDescent="0.25">
      <c r="A11" s="8">
        <v>10</v>
      </c>
      <c r="B11" s="7" t="s">
        <v>22</v>
      </c>
      <c r="C11" s="7" t="s">
        <v>70</v>
      </c>
      <c r="D11" s="7" t="s">
        <v>71</v>
      </c>
      <c r="E11" s="7" t="s">
        <v>74</v>
      </c>
      <c r="F11" s="8" t="s">
        <v>26</v>
      </c>
      <c r="G11" s="8" t="s">
        <v>10</v>
      </c>
      <c r="H11" s="8">
        <v>20</v>
      </c>
      <c r="I11" s="8">
        <v>18</v>
      </c>
      <c r="J11" s="8">
        <v>0</v>
      </c>
      <c r="K11" s="9">
        <f t="shared" si="0"/>
        <v>1</v>
      </c>
    </row>
    <row r="12" spans="1:11" x14ac:dyDescent="0.25">
      <c r="A12" s="5">
        <v>11</v>
      </c>
      <c r="B12" s="4" t="s">
        <v>22</v>
      </c>
      <c r="C12" s="4" t="s">
        <v>28</v>
      </c>
      <c r="D12" s="4" t="s">
        <v>75</v>
      </c>
      <c r="E12" s="4" t="s">
        <v>76</v>
      </c>
      <c r="F12" s="5" t="s">
        <v>24</v>
      </c>
      <c r="G12" s="5" t="s">
        <v>10</v>
      </c>
      <c r="H12" s="5">
        <v>20</v>
      </c>
      <c r="I12" s="5">
        <v>24</v>
      </c>
      <c r="J12" s="5">
        <v>0</v>
      </c>
      <c r="K12" s="6">
        <f t="shared" si="0"/>
        <v>1</v>
      </c>
    </row>
    <row r="13" spans="1:11" x14ac:dyDescent="0.25">
      <c r="A13" s="8">
        <v>12</v>
      </c>
      <c r="B13" s="7" t="s">
        <v>22</v>
      </c>
      <c r="C13" s="7" t="s">
        <v>28</v>
      </c>
      <c r="D13" s="7" t="s">
        <v>75</v>
      </c>
      <c r="E13" s="7" t="s">
        <v>77</v>
      </c>
      <c r="F13" s="8" t="s">
        <v>26</v>
      </c>
      <c r="G13" s="8" t="s">
        <v>10</v>
      </c>
      <c r="H13" s="8">
        <v>15</v>
      </c>
      <c r="I13" s="8">
        <v>11</v>
      </c>
      <c r="J13" s="8">
        <v>0</v>
      </c>
      <c r="K13" s="9">
        <f t="shared" si="0"/>
        <v>1</v>
      </c>
    </row>
    <row r="14" spans="1:11" x14ac:dyDescent="0.25">
      <c r="A14" s="5">
        <v>13</v>
      </c>
      <c r="B14" s="4" t="s">
        <v>22</v>
      </c>
      <c r="C14" s="4" t="s">
        <v>28</v>
      </c>
      <c r="D14" s="4" t="s">
        <v>78</v>
      </c>
      <c r="E14" s="4" t="s">
        <v>79</v>
      </c>
      <c r="F14" s="5" t="s">
        <v>29</v>
      </c>
      <c r="G14" s="5" t="s">
        <v>10</v>
      </c>
      <c r="H14" s="5">
        <v>15</v>
      </c>
      <c r="I14" s="5">
        <v>17</v>
      </c>
      <c r="J14" s="5">
        <v>0</v>
      </c>
      <c r="K14" s="6">
        <f t="shared" si="0"/>
        <v>1</v>
      </c>
    </row>
    <row r="15" spans="1:11" x14ac:dyDescent="0.25">
      <c r="A15" s="8">
        <v>14</v>
      </c>
      <c r="B15" s="7" t="s">
        <v>22</v>
      </c>
      <c r="C15" s="7" t="s">
        <v>80</v>
      </c>
      <c r="D15" s="7" t="s">
        <v>81</v>
      </c>
      <c r="E15" s="7" t="s">
        <v>82</v>
      </c>
      <c r="F15" s="8" t="s">
        <v>24</v>
      </c>
      <c r="G15" s="8" t="s">
        <v>10</v>
      </c>
      <c r="H15" s="8">
        <v>25</v>
      </c>
      <c r="I15" s="8">
        <v>19</v>
      </c>
      <c r="J15" s="8">
        <v>15</v>
      </c>
      <c r="K15" s="9">
        <f t="shared" si="0"/>
        <v>0.4</v>
      </c>
    </row>
    <row r="16" spans="1:11" x14ac:dyDescent="0.25">
      <c r="A16" s="5">
        <v>15</v>
      </c>
      <c r="B16" s="4" t="s">
        <v>22</v>
      </c>
      <c r="C16" s="4" t="s">
        <v>80</v>
      </c>
      <c r="D16" s="4" t="s">
        <v>81</v>
      </c>
      <c r="E16" s="4" t="s">
        <v>83</v>
      </c>
      <c r="F16" s="5" t="s">
        <v>26</v>
      </c>
      <c r="G16" s="5" t="s">
        <v>10</v>
      </c>
      <c r="H16" s="5">
        <v>20</v>
      </c>
      <c r="I16" s="5">
        <v>20</v>
      </c>
      <c r="J16" s="5">
        <v>0</v>
      </c>
      <c r="K16" s="6">
        <f t="shared" si="0"/>
        <v>1</v>
      </c>
    </row>
    <row r="17" spans="1:11" x14ac:dyDescent="0.25">
      <c r="A17" s="8">
        <v>16</v>
      </c>
      <c r="B17" s="7" t="s">
        <v>22</v>
      </c>
      <c r="C17" s="7" t="s">
        <v>80</v>
      </c>
      <c r="D17" s="7" t="s">
        <v>45</v>
      </c>
      <c r="E17" s="7" t="s">
        <v>84</v>
      </c>
      <c r="F17" s="8" t="s">
        <v>25</v>
      </c>
      <c r="G17" s="8" t="s">
        <v>10</v>
      </c>
      <c r="H17" s="8">
        <v>35</v>
      </c>
      <c r="I17" s="8">
        <v>41</v>
      </c>
      <c r="J17" s="8">
        <v>0</v>
      </c>
      <c r="K17" s="9">
        <f t="shared" si="0"/>
        <v>1</v>
      </c>
    </row>
    <row r="18" spans="1:11" x14ac:dyDescent="0.25">
      <c r="A18" s="5">
        <v>17</v>
      </c>
      <c r="B18" s="4" t="s">
        <v>22</v>
      </c>
      <c r="C18" s="4" t="s">
        <v>80</v>
      </c>
      <c r="D18" s="4" t="s">
        <v>85</v>
      </c>
      <c r="E18" s="4" t="s">
        <v>86</v>
      </c>
      <c r="F18" s="5" t="s">
        <v>24</v>
      </c>
      <c r="G18" s="5" t="s">
        <v>10</v>
      </c>
      <c r="H18" s="5">
        <v>15</v>
      </c>
      <c r="I18" s="5">
        <v>13</v>
      </c>
      <c r="J18" s="5">
        <v>0</v>
      </c>
      <c r="K18" s="6">
        <f t="shared" si="0"/>
        <v>1</v>
      </c>
    </row>
    <row r="19" spans="1:11" x14ac:dyDescent="0.25">
      <c r="A19" s="8">
        <v>18</v>
      </c>
      <c r="B19" s="7" t="s">
        <v>22</v>
      </c>
      <c r="C19" s="7" t="s">
        <v>30</v>
      </c>
      <c r="D19" s="7" t="s">
        <v>87</v>
      </c>
      <c r="E19" s="7" t="s">
        <v>88</v>
      </c>
      <c r="F19" s="8" t="s">
        <v>24</v>
      </c>
      <c r="G19" s="8" t="s">
        <v>10</v>
      </c>
      <c r="H19" s="8">
        <v>20</v>
      </c>
      <c r="I19" s="8">
        <v>24</v>
      </c>
      <c r="J19" s="8">
        <v>0</v>
      </c>
      <c r="K19" s="9">
        <f t="shared" si="0"/>
        <v>1</v>
      </c>
    </row>
    <row r="20" spans="1:11" x14ac:dyDescent="0.25">
      <c r="A20" s="5">
        <v>19</v>
      </c>
      <c r="B20" s="4" t="s">
        <v>22</v>
      </c>
      <c r="C20" s="4" t="s">
        <v>30</v>
      </c>
      <c r="D20" s="4" t="s">
        <v>87</v>
      </c>
      <c r="E20" s="4" t="s">
        <v>89</v>
      </c>
      <c r="F20" s="5" t="s">
        <v>25</v>
      </c>
      <c r="G20" s="5" t="s">
        <v>10</v>
      </c>
      <c r="H20" s="5">
        <v>20</v>
      </c>
      <c r="I20" s="5">
        <v>16</v>
      </c>
      <c r="J20" s="5">
        <v>10</v>
      </c>
      <c r="K20" s="6">
        <f t="shared" si="0"/>
        <v>0.5</v>
      </c>
    </row>
    <row r="21" spans="1:11" x14ac:dyDescent="0.25">
      <c r="A21" s="8">
        <v>20</v>
      </c>
      <c r="B21" s="7" t="s">
        <v>22</v>
      </c>
      <c r="C21" s="7" t="s">
        <v>30</v>
      </c>
      <c r="D21" s="7" t="s">
        <v>87</v>
      </c>
      <c r="E21" s="7" t="s">
        <v>90</v>
      </c>
      <c r="F21" s="8" t="s">
        <v>26</v>
      </c>
      <c r="G21" s="8" t="s">
        <v>10</v>
      </c>
      <c r="H21" s="8">
        <v>15</v>
      </c>
      <c r="I21" s="8">
        <v>17</v>
      </c>
      <c r="J21" s="8">
        <v>0</v>
      </c>
      <c r="K21" s="9">
        <f t="shared" si="0"/>
        <v>1</v>
      </c>
    </row>
    <row r="22" spans="1:11" x14ac:dyDescent="0.25">
      <c r="A22" s="5">
        <v>21</v>
      </c>
      <c r="B22" s="4" t="s">
        <v>31</v>
      </c>
      <c r="C22" s="4" t="s">
        <v>32</v>
      </c>
      <c r="D22" s="4" t="s">
        <v>91</v>
      </c>
      <c r="E22" s="4" t="s">
        <v>92</v>
      </c>
      <c r="F22" s="5" t="s">
        <v>24</v>
      </c>
      <c r="G22" s="5" t="s">
        <v>10</v>
      </c>
      <c r="H22" s="5">
        <v>15</v>
      </c>
      <c r="I22" s="5">
        <v>9</v>
      </c>
      <c r="J22" s="5">
        <v>0</v>
      </c>
      <c r="K22" s="6">
        <f t="shared" si="0"/>
        <v>1</v>
      </c>
    </row>
    <row r="23" spans="1:11" x14ac:dyDescent="0.25">
      <c r="A23" s="8">
        <v>22</v>
      </c>
      <c r="B23" s="7" t="s">
        <v>31</v>
      </c>
      <c r="C23" s="7" t="s">
        <v>32</v>
      </c>
      <c r="D23" s="7" t="s">
        <v>64</v>
      </c>
      <c r="E23" s="7" t="s">
        <v>93</v>
      </c>
      <c r="F23" s="8" t="s">
        <v>26</v>
      </c>
      <c r="G23" s="8" t="s">
        <v>10</v>
      </c>
      <c r="H23" s="8">
        <v>15</v>
      </c>
      <c r="I23" s="8">
        <v>15</v>
      </c>
      <c r="J23" s="8">
        <v>0</v>
      </c>
      <c r="K23" s="9">
        <f t="shared" si="0"/>
        <v>1</v>
      </c>
    </row>
    <row r="24" spans="1:11" x14ac:dyDescent="0.25">
      <c r="A24" s="5">
        <v>23</v>
      </c>
      <c r="B24" s="4" t="s">
        <v>31</v>
      </c>
      <c r="C24" s="4" t="s">
        <v>33</v>
      </c>
      <c r="D24" s="4" t="s">
        <v>53</v>
      </c>
      <c r="E24" s="4" t="s">
        <v>94</v>
      </c>
      <c r="F24" s="5" t="s">
        <v>24</v>
      </c>
      <c r="G24" s="5" t="s">
        <v>10</v>
      </c>
      <c r="H24" s="5">
        <v>25</v>
      </c>
      <c r="I24" s="5">
        <v>31</v>
      </c>
      <c r="J24" s="5">
        <v>0</v>
      </c>
      <c r="K24" s="6">
        <f t="shared" si="0"/>
        <v>1</v>
      </c>
    </row>
    <row r="25" spans="1:11" x14ac:dyDescent="0.25">
      <c r="A25" s="8">
        <v>24</v>
      </c>
      <c r="B25" s="7" t="s">
        <v>31</v>
      </c>
      <c r="C25" s="7" t="s">
        <v>33</v>
      </c>
      <c r="D25" s="7" t="s">
        <v>53</v>
      </c>
      <c r="E25" s="7" t="s">
        <v>95</v>
      </c>
      <c r="F25" s="8" t="s">
        <v>26</v>
      </c>
      <c r="G25" s="8" t="s">
        <v>10</v>
      </c>
      <c r="H25" s="8">
        <v>20</v>
      </c>
      <c r="I25" s="8">
        <v>18</v>
      </c>
      <c r="J25" s="8">
        <v>0</v>
      </c>
      <c r="K25" s="9">
        <f t="shared" si="0"/>
        <v>1</v>
      </c>
    </row>
    <row r="26" spans="1:11" x14ac:dyDescent="0.25">
      <c r="A26" s="5">
        <v>25</v>
      </c>
      <c r="B26" s="4" t="s">
        <v>31</v>
      </c>
      <c r="C26" s="4" t="s">
        <v>33</v>
      </c>
      <c r="D26" s="4" t="s">
        <v>53</v>
      </c>
      <c r="E26" s="4" t="s">
        <v>96</v>
      </c>
      <c r="F26" s="5" t="s">
        <v>24</v>
      </c>
      <c r="G26" s="5" t="s">
        <v>10</v>
      </c>
      <c r="H26" s="5">
        <v>20</v>
      </c>
      <c r="I26" s="5">
        <v>24</v>
      </c>
      <c r="J26" s="5">
        <v>0</v>
      </c>
      <c r="K26" s="6">
        <f t="shared" si="0"/>
        <v>1</v>
      </c>
    </row>
    <row r="27" spans="1:11" x14ac:dyDescent="0.25">
      <c r="A27" s="8">
        <v>26</v>
      </c>
      <c r="B27" s="7" t="s">
        <v>31</v>
      </c>
      <c r="C27" s="7" t="s">
        <v>33</v>
      </c>
      <c r="D27" s="7" t="s">
        <v>53</v>
      </c>
      <c r="E27" s="7" t="s">
        <v>97</v>
      </c>
      <c r="F27" s="8" t="s">
        <v>26</v>
      </c>
      <c r="G27" s="8" t="s">
        <v>10</v>
      </c>
      <c r="H27" s="8">
        <v>20</v>
      </c>
      <c r="I27" s="8">
        <v>16</v>
      </c>
      <c r="J27" s="8">
        <v>0</v>
      </c>
      <c r="K27" s="9">
        <f t="shared" si="0"/>
        <v>1</v>
      </c>
    </row>
    <row r="28" spans="1:11" x14ac:dyDescent="0.25">
      <c r="A28" s="5">
        <v>27</v>
      </c>
      <c r="B28" s="4" t="s">
        <v>31</v>
      </c>
      <c r="C28" s="4" t="s">
        <v>50</v>
      </c>
      <c r="D28" s="4" t="s">
        <v>51</v>
      </c>
      <c r="E28" s="4" t="s">
        <v>98</v>
      </c>
      <c r="F28" s="5" t="s">
        <v>24</v>
      </c>
      <c r="G28" s="5" t="s">
        <v>10</v>
      </c>
      <c r="H28" s="5">
        <v>25</v>
      </c>
      <c r="I28" s="5">
        <v>47</v>
      </c>
      <c r="J28" s="5">
        <v>0</v>
      </c>
      <c r="K28" s="6">
        <f t="shared" si="0"/>
        <v>1</v>
      </c>
    </row>
    <row r="29" spans="1:11" x14ac:dyDescent="0.25">
      <c r="A29" s="8">
        <v>28</v>
      </c>
      <c r="B29" s="7" t="s">
        <v>31</v>
      </c>
      <c r="C29" s="7" t="s">
        <v>50</v>
      </c>
      <c r="D29" s="7" t="s">
        <v>51</v>
      </c>
      <c r="E29" s="7" t="s">
        <v>99</v>
      </c>
      <c r="F29" s="8" t="s">
        <v>25</v>
      </c>
      <c r="G29" s="8" t="s">
        <v>10</v>
      </c>
      <c r="H29" s="8">
        <v>20</v>
      </c>
      <c r="I29" s="8">
        <v>14</v>
      </c>
      <c r="J29" s="8">
        <v>0</v>
      </c>
      <c r="K29" s="9">
        <f t="shared" si="0"/>
        <v>1</v>
      </c>
    </row>
    <row r="30" spans="1:11" x14ac:dyDescent="0.25">
      <c r="A30" s="5">
        <v>29</v>
      </c>
      <c r="B30" s="4" t="s">
        <v>31</v>
      </c>
      <c r="C30" s="4" t="s">
        <v>50</v>
      </c>
      <c r="D30" s="4" t="s">
        <v>100</v>
      </c>
      <c r="E30" s="4" t="s">
        <v>101</v>
      </c>
      <c r="F30" s="5" t="s">
        <v>24</v>
      </c>
      <c r="G30" s="5" t="s">
        <v>10</v>
      </c>
      <c r="H30" s="5">
        <v>10</v>
      </c>
      <c r="I30" s="5">
        <v>10</v>
      </c>
      <c r="J30" s="5">
        <v>0</v>
      </c>
      <c r="K30" s="6">
        <f t="shared" si="0"/>
        <v>1</v>
      </c>
    </row>
    <row r="31" spans="1:11" x14ac:dyDescent="0.25">
      <c r="A31" s="8">
        <v>30</v>
      </c>
      <c r="B31" s="7" t="s">
        <v>31</v>
      </c>
      <c r="C31" s="7" t="s">
        <v>102</v>
      </c>
      <c r="D31" s="7" t="s">
        <v>103</v>
      </c>
      <c r="E31" s="7" t="s">
        <v>104</v>
      </c>
      <c r="F31" s="8" t="s">
        <v>24</v>
      </c>
      <c r="G31" s="8" t="s">
        <v>10</v>
      </c>
      <c r="H31" s="8">
        <v>25</v>
      </c>
      <c r="I31" s="8">
        <v>31</v>
      </c>
      <c r="J31" s="8">
        <v>0</v>
      </c>
      <c r="K31" s="9">
        <f t="shared" si="0"/>
        <v>1</v>
      </c>
    </row>
    <row r="32" spans="1:11" x14ac:dyDescent="0.25">
      <c r="A32" s="5">
        <v>31</v>
      </c>
      <c r="B32" s="4" t="s">
        <v>31</v>
      </c>
      <c r="C32" s="4" t="s">
        <v>102</v>
      </c>
      <c r="D32" s="4" t="s">
        <v>103</v>
      </c>
      <c r="E32" s="4" t="s">
        <v>105</v>
      </c>
      <c r="F32" s="5" t="s">
        <v>25</v>
      </c>
      <c r="G32" s="5" t="s">
        <v>10</v>
      </c>
      <c r="H32" s="5">
        <v>20</v>
      </c>
      <c r="I32" s="5">
        <v>18</v>
      </c>
      <c r="J32" s="5">
        <v>0</v>
      </c>
      <c r="K32" s="6">
        <f t="shared" si="0"/>
        <v>1</v>
      </c>
    </row>
    <row r="33" spans="1:11" x14ac:dyDescent="0.25">
      <c r="A33" s="8">
        <v>32</v>
      </c>
      <c r="B33" s="7" t="s">
        <v>31</v>
      </c>
      <c r="C33" s="7" t="s">
        <v>102</v>
      </c>
      <c r="D33" s="7" t="s">
        <v>103</v>
      </c>
      <c r="E33" s="7" t="s">
        <v>106</v>
      </c>
      <c r="F33" s="8" t="s">
        <v>24</v>
      </c>
      <c r="G33" s="8" t="s">
        <v>10</v>
      </c>
      <c r="H33" s="8">
        <v>25</v>
      </c>
      <c r="I33" s="8">
        <v>29</v>
      </c>
      <c r="J33" s="8">
        <v>10</v>
      </c>
      <c r="K33" s="9">
        <f t="shared" si="0"/>
        <v>0.6</v>
      </c>
    </row>
    <row r="34" spans="1:11" x14ac:dyDescent="0.25">
      <c r="A34" s="5">
        <v>33</v>
      </c>
      <c r="B34" s="4" t="s">
        <v>31</v>
      </c>
      <c r="C34" s="4" t="s">
        <v>102</v>
      </c>
      <c r="D34" s="4" t="s">
        <v>103</v>
      </c>
      <c r="E34" s="4" t="s">
        <v>107</v>
      </c>
      <c r="F34" s="5" t="s">
        <v>26</v>
      </c>
      <c r="G34" s="5" t="s">
        <v>10</v>
      </c>
      <c r="H34" s="5">
        <v>15</v>
      </c>
      <c r="I34" s="5">
        <v>11</v>
      </c>
      <c r="J34" s="5">
        <v>0</v>
      </c>
      <c r="K34" s="6">
        <f t="shared" si="0"/>
        <v>1</v>
      </c>
    </row>
    <row r="35" spans="1:11" x14ac:dyDescent="0.25">
      <c r="A35" s="8">
        <v>34</v>
      </c>
      <c r="B35" s="7" t="s">
        <v>31</v>
      </c>
      <c r="C35" s="7" t="s">
        <v>34</v>
      </c>
      <c r="D35" s="7" t="s">
        <v>108</v>
      </c>
      <c r="E35" s="7" t="s">
        <v>109</v>
      </c>
      <c r="F35" s="8" t="s">
        <v>24</v>
      </c>
      <c r="G35" s="8" t="s">
        <v>10</v>
      </c>
      <c r="H35" s="8">
        <v>30</v>
      </c>
      <c r="I35" s="8">
        <v>32</v>
      </c>
      <c r="J35" s="8">
        <v>0</v>
      </c>
      <c r="K35" s="9">
        <f t="shared" si="0"/>
        <v>1</v>
      </c>
    </row>
    <row r="36" spans="1:11" x14ac:dyDescent="0.25">
      <c r="A36" s="5">
        <v>35</v>
      </c>
      <c r="B36" s="4" t="s">
        <v>31</v>
      </c>
      <c r="C36" s="4" t="s">
        <v>34</v>
      </c>
      <c r="D36" s="4" t="s">
        <v>108</v>
      </c>
      <c r="E36" s="4" t="s">
        <v>110</v>
      </c>
      <c r="F36" s="5" t="s">
        <v>26</v>
      </c>
      <c r="G36" s="5" t="s">
        <v>10</v>
      </c>
      <c r="H36" s="5">
        <v>25</v>
      </c>
      <c r="I36" s="5">
        <v>19</v>
      </c>
      <c r="J36" s="5">
        <v>0</v>
      </c>
      <c r="K36" s="6">
        <f t="shared" si="0"/>
        <v>1</v>
      </c>
    </row>
    <row r="37" spans="1:11" x14ac:dyDescent="0.25">
      <c r="A37" s="8">
        <v>36</v>
      </c>
      <c r="B37" s="7" t="s">
        <v>31</v>
      </c>
      <c r="C37" s="7" t="s">
        <v>34</v>
      </c>
      <c r="D37" s="7" t="s">
        <v>108</v>
      </c>
      <c r="E37" s="7" t="s">
        <v>111</v>
      </c>
      <c r="F37" s="8" t="s">
        <v>25</v>
      </c>
      <c r="G37" s="8" t="s">
        <v>10</v>
      </c>
      <c r="H37" s="8">
        <v>30</v>
      </c>
      <c r="I37" s="8">
        <v>35</v>
      </c>
      <c r="J37" s="8">
        <v>5</v>
      </c>
      <c r="K37" s="9">
        <f t="shared" si="0"/>
        <v>0.83333333333333337</v>
      </c>
    </row>
    <row r="38" spans="1:11" x14ac:dyDescent="0.25">
      <c r="A38" s="5">
        <v>37</v>
      </c>
      <c r="B38" s="4" t="s">
        <v>31</v>
      </c>
      <c r="C38" s="4" t="s">
        <v>34</v>
      </c>
      <c r="D38" s="4" t="s">
        <v>108</v>
      </c>
      <c r="E38" s="4" t="s">
        <v>112</v>
      </c>
      <c r="F38" s="5" t="s">
        <v>25</v>
      </c>
      <c r="G38" s="5" t="s">
        <v>10</v>
      </c>
      <c r="H38" s="5">
        <v>30</v>
      </c>
      <c r="I38" s="5">
        <v>36</v>
      </c>
      <c r="J38" s="5">
        <v>0</v>
      </c>
      <c r="K38" s="6">
        <f t="shared" si="0"/>
        <v>1</v>
      </c>
    </row>
    <row r="39" spans="1:11" x14ac:dyDescent="0.25">
      <c r="A39" s="8">
        <v>38</v>
      </c>
      <c r="B39" s="7" t="s">
        <v>31</v>
      </c>
      <c r="C39" s="7" t="s">
        <v>34</v>
      </c>
      <c r="D39" s="7" t="s">
        <v>108</v>
      </c>
      <c r="E39" s="7" t="s">
        <v>113</v>
      </c>
      <c r="F39" s="8" t="s">
        <v>25</v>
      </c>
      <c r="G39" s="8" t="s">
        <v>10</v>
      </c>
      <c r="H39" s="8">
        <v>25</v>
      </c>
      <c r="I39" s="8">
        <v>23</v>
      </c>
      <c r="J39" s="8">
        <v>0</v>
      </c>
      <c r="K39" s="9">
        <f t="shared" si="0"/>
        <v>1</v>
      </c>
    </row>
    <row r="40" spans="1:11" x14ac:dyDescent="0.25">
      <c r="A40" s="5">
        <v>39</v>
      </c>
      <c r="B40" s="4" t="s">
        <v>31</v>
      </c>
      <c r="C40" s="4" t="s">
        <v>34</v>
      </c>
      <c r="D40" s="4" t="s">
        <v>108</v>
      </c>
      <c r="E40" s="4" t="s">
        <v>114</v>
      </c>
      <c r="F40" s="5" t="s">
        <v>25</v>
      </c>
      <c r="G40" s="5" t="s">
        <v>10</v>
      </c>
      <c r="H40" s="5">
        <v>35</v>
      </c>
      <c r="I40" s="5">
        <v>44</v>
      </c>
      <c r="J40" s="5">
        <v>0</v>
      </c>
      <c r="K40" s="6">
        <f t="shared" si="0"/>
        <v>1</v>
      </c>
    </row>
    <row r="41" spans="1:11" x14ac:dyDescent="0.25">
      <c r="A41" s="8">
        <v>40</v>
      </c>
      <c r="B41" s="7" t="s">
        <v>31</v>
      </c>
      <c r="C41" s="7" t="s">
        <v>34</v>
      </c>
      <c r="D41" s="7" t="s">
        <v>108</v>
      </c>
      <c r="E41" s="7" t="s">
        <v>115</v>
      </c>
      <c r="F41" s="8" t="s">
        <v>26</v>
      </c>
      <c r="G41" s="8" t="s">
        <v>10</v>
      </c>
      <c r="H41" s="8">
        <v>20</v>
      </c>
      <c r="I41" s="8">
        <v>16</v>
      </c>
      <c r="J41" s="8">
        <v>0</v>
      </c>
      <c r="K41" s="9">
        <f t="shared" si="0"/>
        <v>1</v>
      </c>
    </row>
    <row r="42" spans="1:11" x14ac:dyDescent="0.25">
      <c r="A42" s="5">
        <v>41</v>
      </c>
      <c r="B42" s="4" t="s">
        <v>31</v>
      </c>
      <c r="C42" s="4" t="s">
        <v>34</v>
      </c>
      <c r="D42" s="4" t="s">
        <v>108</v>
      </c>
      <c r="E42" s="4" t="s">
        <v>116</v>
      </c>
      <c r="F42" s="5" t="s">
        <v>26</v>
      </c>
      <c r="G42" s="5" t="s">
        <v>10</v>
      </c>
      <c r="H42" s="5">
        <v>20</v>
      </c>
      <c r="I42" s="5">
        <v>22</v>
      </c>
      <c r="J42" s="5">
        <v>0</v>
      </c>
      <c r="K42" s="6">
        <f t="shared" si="0"/>
        <v>1</v>
      </c>
    </row>
    <row r="43" spans="1:11" x14ac:dyDescent="0.25">
      <c r="A43" s="8">
        <v>42</v>
      </c>
      <c r="B43" s="7" t="s">
        <v>31</v>
      </c>
      <c r="C43" s="7" t="s">
        <v>34</v>
      </c>
      <c r="D43" s="7" t="s">
        <v>108</v>
      </c>
      <c r="E43" s="7" t="s">
        <v>117</v>
      </c>
      <c r="F43" s="8" t="s">
        <v>26</v>
      </c>
      <c r="G43" s="8" t="s">
        <v>10</v>
      </c>
      <c r="H43" s="8">
        <v>20</v>
      </c>
      <c r="I43" s="8">
        <v>19</v>
      </c>
      <c r="J43" s="8">
        <v>0</v>
      </c>
      <c r="K43" s="9">
        <f t="shared" si="0"/>
        <v>1</v>
      </c>
    </row>
    <row r="44" spans="1:11" x14ac:dyDescent="0.25">
      <c r="A44" s="5">
        <v>43</v>
      </c>
      <c r="B44" s="4" t="s">
        <v>31</v>
      </c>
      <c r="C44" s="4" t="s">
        <v>34</v>
      </c>
      <c r="D44" s="4" t="s">
        <v>108</v>
      </c>
      <c r="E44" s="4" t="s">
        <v>118</v>
      </c>
      <c r="F44" s="5" t="s">
        <v>25</v>
      </c>
      <c r="G44" s="5" t="s">
        <v>10</v>
      </c>
      <c r="H44" s="5">
        <v>30</v>
      </c>
      <c r="I44" s="5">
        <v>30</v>
      </c>
      <c r="J44" s="5">
        <v>0</v>
      </c>
      <c r="K44" s="6">
        <f t="shared" si="0"/>
        <v>1</v>
      </c>
    </row>
    <row r="45" spans="1:11" x14ac:dyDescent="0.25">
      <c r="A45" s="8">
        <v>44</v>
      </c>
      <c r="B45" s="7" t="s">
        <v>31</v>
      </c>
      <c r="C45" s="7" t="s">
        <v>34</v>
      </c>
      <c r="D45" s="7" t="s">
        <v>108</v>
      </c>
      <c r="E45" s="7" t="s">
        <v>119</v>
      </c>
      <c r="F45" s="8" t="s">
        <v>26</v>
      </c>
      <c r="G45" s="8" t="s">
        <v>10</v>
      </c>
      <c r="H45" s="8">
        <v>30</v>
      </c>
      <c r="I45" s="8">
        <v>36</v>
      </c>
      <c r="J45" s="8">
        <v>0</v>
      </c>
      <c r="K45" s="9">
        <f t="shared" si="0"/>
        <v>1</v>
      </c>
    </row>
    <row r="46" spans="1:11" x14ac:dyDescent="0.25">
      <c r="A46" s="5">
        <v>45</v>
      </c>
      <c r="B46" s="4" t="s">
        <v>31</v>
      </c>
      <c r="C46" s="4" t="s">
        <v>34</v>
      </c>
      <c r="D46" s="4" t="s">
        <v>108</v>
      </c>
      <c r="E46" s="4" t="s">
        <v>120</v>
      </c>
      <c r="F46" s="5" t="s">
        <v>25</v>
      </c>
      <c r="G46" s="5" t="s">
        <v>10</v>
      </c>
      <c r="H46" s="5">
        <v>30</v>
      </c>
      <c r="I46" s="5">
        <v>28</v>
      </c>
      <c r="J46" s="5">
        <v>15</v>
      </c>
      <c r="K46" s="6">
        <f t="shared" si="0"/>
        <v>0.5</v>
      </c>
    </row>
    <row r="47" spans="1:11" x14ac:dyDescent="0.25">
      <c r="A47" s="8">
        <v>46</v>
      </c>
      <c r="B47" s="7" t="s">
        <v>31</v>
      </c>
      <c r="C47" s="7" t="s">
        <v>34</v>
      </c>
      <c r="D47" s="7" t="s">
        <v>108</v>
      </c>
      <c r="E47" s="7" t="s">
        <v>121</v>
      </c>
      <c r="F47" s="8" t="s">
        <v>25</v>
      </c>
      <c r="G47" s="8" t="s">
        <v>10</v>
      </c>
      <c r="H47" s="8">
        <v>25</v>
      </c>
      <c r="I47" s="8">
        <v>29</v>
      </c>
      <c r="J47" s="8">
        <v>0</v>
      </c>
      <c r="K47" s="9">
        <f t="shared" si="0"/>
        <v>1</v>
      </c>
    </row>
    <row r="48" spans="1:11" x14ac:dyDescent="0.25">
      <c r="A48" s="8">
        <v>47</v>
      </c>
      <c r="B48" s="7" t="s">
        <v>31</v>
      </c>
      <c r="C48" s="7" t="s">
        <v>34</v>
      </c>
      <c r="D48" s="7" t="s">
        <v>45</v>
      </c>
      <c r="E48" s="7" t="s">
        <v>46</v>
      </c>
      <c r="F48" s="8" t="s">
        <v>25</v>
      </c>
      <c r="G48" s="8" t="s">
        <v>10</v>
      </c>
      <c r="H48" s="8">
        <v>30</v>
      </c>
      <c r="I48" s="8">
        <v>30</v>
      </c>
      <c r="J48" s="8">
        <v>0</v>
      </c>
      <c r="K48" s="9">
        <v>1</v>
      </c>
    </row>
    <row r="49" spans="1:11" x14ac:dyDescent="0.25">
      <c r="A49" s="8">
        <v>48</v>
      </c>
      <c r="B49" s="7" t="s">
        <v>31</v>
      </c>
      <c r="C49" s="7" t="s">
        <v>47</v>
      </c>
      <c r="D49" s="7" t="s">
        <v>48</v>
      </c>
      <c r="E49" s="7" t="s">
        <v>49</v>
      </c>
      <c r="F49" s="8" t="s">
        <v>25</v>
      </c>
      <c r="G49" s="8" t="s">
        <v>10</v>
      </c>
      <c r="H49" s="8">
        <v>40</v>
      </c>
      <c r="I49" s="8">
        <v>40</v>
      </c>
      <c r="J49" s="8">
        <v>0</v>
      </c>
      <c r="K49" s="9">
        <v>1</v>
      </c>
    </row>
    <row r="50" spans="1:11" x14ac:dyDescent="0.25">
      <c r="A50" s="8">
        <v>49</v>
      </c>
      <c r="B50" s="7" t="s">
        <v>31</v>
      </c>
      <c r="C50" s="7" t="s">
        <v>50</v>
      </c>
      <c r="D50" s="7" t="s">
        <v>51</v>
      </c>
      <c r="E50" s="7" t="s">
        <v>52</v>
      </c>
      <c r="F50" s="8" t="s">
        <v>26</v>
      </c>
      <c r="G50" s="8" t="s">
        <v>10</v>
      </c>
      <c r="H50" s="8">
        <v>25</v>
      </c>
      <c r="I50" s="8">
        <v>25</v>
      </c>
      <c r="J50" s="8">
        <v>0</v>
      </c>
      <c r="K50" s="9">
        <v>1</v>
      </c>
    </row>
    <row r="51" spans="1:11" x14ac:dyDescent="0.25">
      <c r="A51" s="8">
        <v>50</v>
      </c>
      <c r="B51" s="7" t="s">
        <v>31</v>
      </c>
      <c r="C51" s="7" t="s">
        <v>33</v>
      </c>
      <c r="D51" s="7" t="s">
        <v>53</v>
      </c>
      <c r="E51" s="7" t="s">
        <v>122</v>
      </c>
      <c r="F51" s="8" t="s">
        <v>26</v>
      </c>
      <c r="G51" s="8" t="s">
        <v>10</v>
      </c>
      <c r="H51" s="8">
        <v>35</v>
      </c>
      <c r="I51" s="8">
        <v>35</v>
      </c>
      <c r="J51" s="8">
        <v>0</v>
      </c>
      <c r="K51" s="9">
        <v>1</v>
      </c>
    </row>
    <row r="52" spans="1:11" x14ac:dyDescent="0.25">
      <c r="A52" s="8">
        <v>51</v>
      </c>
      <c r="B52" s="7" t="s">
        <v>31</v>
      </c>
      <c r="C52" s="7" t="s">
        <v>33</v>
      </c>
      <c r="D52" s="7" t="s">
        <v>53</v>
      </c>
      <c r="E52" s="7" t="s">
        <v>123</v>
      </c>
      <c r="F52" s="8" t="s">
        <v>24</v>
      </c>
      <c r="G52" s="8" t="s">
        <v>10</v>
      </c>
      <c r="H52" s="8">
        <v>25</v>
      </c>
      <c r="I52" s="8">
        <v>25</v>
      </c>
      <c r="J52" s="8">
        <v>0</v>
      </c>
      <c r="K52" s="9">
        <v>1</v>
      </c>
    </row>
    <row r="53" spans="1:11" x14ac:dyDescent="0.25">
      <c r="A53" s="8">
        <v>52</v>
      </c>
      <c r="B53" s="7" t="s">
        <v>31</v>
      </c>
      <c r="C53" s="7" t="s">
        <v>47</v>
      </c>
      <c r="D53" s="7" t="s">
        <v>54</v>
      </c>
      <c r="E53" s="7" t="s">
        <v>55</v>
      </c>
      <c r="F53" s="8" t="s">
        <v>24</v>
      </c>
      <c r="G53" s="8" t="s">
        <v>10</v>
      </c>
      <c r="H53" s="8">
        <v>20</v>
      </c>
      <c r="I53" s="8">
        <v>20</v>
      </c>
      <c r="J53" s="8">
        <v>0</v>
      </c>
      <c r="K53" s="9">
        <v>1</v>
      </c>
    </row>
    <row r="54" spans="1:11" x14ac:dyDescent="0.25">
      <c r="A54" s="8">
        <v>53</v>
      </c>
      <c r="B54" s="7" t="s">
        <v>31</v>
      </c>
      <c r="C54" s="7" t="s">
        <v>47</v>
      </c>
      <c r="D54" s="7" t="s">
        <v>54</v>
      </c>
      <c r="E54" s="7" t="s">
        <v>56</v>
      </c>
      <c r="F54" s="8" t="s">
        <v>25</v>
      </c>
      <c r="G54" s="8" t="s">
        <v>10</v>
      </c>
      <c r="H54" s="8">
        <v>20</v>
      </c>
      <c r="I54" s="8">
        <v>20</v>
      </c>
      <c r="J54" s="8">
        <v>0</v>
      </c>
      <c r="K54" s="9">
        <v>1</v>
      </c>
    </row>
    <row r="55" spans="1:11" x14ac:dyDescent="0.25">
      <c r="A55" s="8">
        <v>54</v>
      </c>
      <c r="B55" s="7" t="s">
        <v>31</v>
      </c>
      <c r="C55" s="7" t="s">
        <v>57</v>
      </c>
      <c r="D55" s="7" t="s">
        <v>45</v>
      </c>
      <c r="E55" s="7" t="s">
        <v>58</v>
      </c>
      <c r="F55" s="8" t="s">
        <v>25</v>
      </c>
      <c r="G55" s="8" t="s">
        <v>10</v>
      </c>
      <c r="H55" s="8">
        <v>15</v>
      </c>
      <c r="I55" s="8">
        <v>15</v>
      </c>
      <c r="J55" s="8">
        <v>0</v>
      </c>
      <c r="K55" s="9">
        <v>1</v>
      </c>
    </row>
    <row r="56" spans="1:11" x14ac:dyDescent="0.25">
      <c r="A56" s="8">
        <v>55</v>
      </c>
      <c r="B56" s="7" t="s">
        <v>31</v>
      </c>
      <c r="C56" s="7" t="s">
        <v>57</v>
      </c>
      <c r="D56" s="7" t="s">
        <v>45</v>
      </c>
      <c r="E56" s="7" t="s">
        <v>59</v>
      </c>
      <c r="F56" s="8" t="s">
        <v>25</v>
      </c>
      <c r="G56" s="8" t="s">
        <v>10</v>
      </c>
      <c r="H56" s="8">
        <v>15</v>
      </c>
      <c r="I56" s="8">
        <v>15</v>
      </c>
      <c r="J56" s="8">
        <v>0</v>
      </c>
      <c r="K56" s="9">
        <v>1</v>
      </c>
    </row>
    <row r="57" spans="1:11" x14ac:dyDescent="0.25">
      <c r="A57" s="16" t="s">
        <v>1</v>
      </c>
      <c r="B57" s="17"/>
      <c r="C57" s="17"/>
      <c r="D57" s="17"/>
      <c r="E57" s="17"/>
      <c r="F57" s="17"/>
      <c r="G57" s="17"/>
      <c r="H57" s="10">
        <f>SUM(H2:H56)</f>
        <v>1255</v>
      </c>
      <c r="I57" s="10">
        <f>SUM(I2:I56)</f>
        <v>1298</v>
      </c>
      <c r="J57" s="10">
        <f>SUM(J2:J56)</f>
        <v>70</v>
      </c>
      <c r="K57" s="11">
        <f>(H57-J57)/H57</f>
        <v>0.94422310756972117</v>
      </c>
    </row>
  </sheetData>
  <mergeCells count="1">
    <mergeCell ref="A57:G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12"/>
  <sheetViews>
    <sheetView workbookViewId="0">
      <selection activeCell="B4" sqref="B4"/>
    </sheetView>
  </sheetViews>
  <sheetFormatPr baseColWidth="10" defaultRowHeight="15" x14ac:dyDescent="0.25"/>
  <cols>
    <col min="1" max="1" width="18.7109375" customWidth="1"/>
    <col min="2" max="2" width="20.7109375" customWidth="1"/>
    <col min="3" max="4" width="22.7109375" customWidth="1"/>
  </cols>
  <sheetData>
    <row r="2" spans="1:4" x14ac:dyDescent="0.25">
      <c r="A2" s="12" t="s">
        <v>17</v>
      </c>
      <c r="B2" s="12" t="s">
        <v>35</v>
      </c>
      <c r="C2" s="12" t="s">
        <v>36</v>
      </c>
      <c r="D2" s="12" t="s">
        <v>37</v>
      </c>
    </row>
    <row r="3" spans="1:4" x14ac:dyDescent="0.25">
      <c r="A3" t="s">
        <v>10</v>
      </c>
      <c r="B3">
        <f>'liste des taches'!H57</f>
        <v>1255</v>
      </c>
      <c r="C3" s="10">
        <f>'liste des taches'!I57</f>
        <v>1298</v>
      </c>
      <c r="D3">
        <f>'liste des taches'!J57</f>
        <v>70</v>
      </c>
    </row>
    <row r="4" spans="1:4" x14ac:dyDescent="0.25">
      <c r="A4" s="1" t="s">
        <v>38</v>
      </c>
      <c r="B4" s="1">
        <f>B3</f>
        <v>1255</v>
      </c>
      <c r="C4" s="10">
        <f>C3</f>
        <v>1298</v>
      </c>
      <c r="D4" s="1">
        <f>D3</f>
        <v>70</v>
      </c>
    </row>
    <row r="12" spans="1:4" x14ac:dyDescent="0.25">
      <c r="A12" s="13" t="s">
        <v>21</v>
      </c>
      <c r="B12" s="18">
        <f>avancement!D2</f>
        <v>0.94422310756972117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A3" sqref="A3"/>
    </sheetView>
  </sheetViews>
  <sheetFormatPr baseColWidth="10" defaultRowHeight="15" x14ac:dyDescent="0.25"/>
  <cols>
    <col min="1" max="5" width="20.7109375" customWidth="1"/>
  </cols>
  <sheetData>
    <row r="1" spans="1:5" x14ac:dyDescent="0.25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</row>
    <row r="2" spans="1:5" x14ac:dyDescent="0.25">
      <c r="A2">
        <f>'liste des taches'!H57</f>
        <v>1255</v>
      </c>
      <c r="B2">
        <f>'liste des taches'!I57</f>
        <v>1298</v>
      </c>
      <c r="C2">
        <f>'liste des taches'!J57</f>
        <v>70</v>
      </c>
      <c r="D2" s="14">
        <f>'liste des taches'!K57</f>
        <v>0.94422310756972117</v>
      </c>
      <c r="E2" s="3">
        <v>2.9126213592233011E-2</v>
      </c>
    </row>
    <row r="3" spans="1:5" x14ac:dyDescent="0.25">
      <c r="C3">
        <f>C2/60</f>
        <v>1.1666666666666667</v>
      </c>
      <c r="D3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3"/>
  <sheetViews>
    <sheetView topLeftCell="A26" workbookViewId="0">
      <selection activeCell="L46" sqref="L46"/>
    </sheetView>
  </sheetViews>
  <sheetFormatPr baseColWidth="10" defaultRowHeight="15" x14ac:dyDescent="0.25"/>
  <cols>
    <col min="1" max="1" width="8.7109375" customWidth="1"/>
    <col min="2" max="4" width="10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5">
        <v>1</v>
      </c>
      <c r="B2" s="15">
        <v>20</v>
      </c>
      <c r="C2" s="5">
        <v>0</v>
      </c>
      <c r="D2" s="5">
        <v>17</v>
      </c>
      <c r="E2">
        <v>0</v>
      </c>
      <c r="F2">
        <v>0</v>
      </c>
      <c r="G2">
        <v>0</v>
      </c>
      <c r="H2">
        <v>0</v>
      </c>
      <c r="I2">
        <v>0</v>
      </c>
      <c r="J2">
        <v>3</v>
      </c>
    </row>
    <row r="3" spans="1:10" x14ac:dyDescent="0.25">
      <c r="A3" s="8">
        <v>2</v>
      </c>
      <c r="B3" s="15">
        <v>31</v>
      </c>
      <c r="C3" s="8">
        <v>0</v>
      </c>
      <c r="D3" s="8">
        <v>0</v>
      </c>
      <c r="E3">
        <v>0</v>
      </c>
      <c r="F3">
        <v>19</v>
      </c>
      <c r="G3">
        <v>0</v>
      </c>
      <c r="H3">
        <v>12</v>
      </c>
      <c r="I3">
        <v>0</v>
      </c>
      <c r="J3">
        <v>0</v>
      </c>
    </row>
    <row r="4" spans="1:10" x14ac:dyDescent="0.25">
      <c r="A4" s="5">
        <v>3</v>
      </c>
      <c r="B4" s="15">
        <v>13</v>
      </c>
      <c r="C4" s="5">
        <v>0</v>
      </c>
      <c r="D4" s="5">
        <v>2</v>
      </c>
      <c r="E4">
        <v>0</v>
      </c>
      <c r="F4">
        <v>1</v>
      </c>
      <c r="G4">
        <v>0</v>
      </c>
      <c r="H4">
        <v>0</v>
      </c>
      <c r="I4">
        <v>10</v>
      </c>
      <c r="J4">
        <v>0</v>
      </c>
    </row>
    <row r="5" spans="1:10" x14ac:dyDescent="0.25">
      <c r="A5" s="8">
        <v>4</v>
      </c>
      <c r="B5" s="15">
        <v>19</v>
      </c>
      <c r="C5" s="8">
        <v>0</v>
      </c>
      <c r="D5" s="8">
        <v>0</v>
      </c>
      <c r="E5">
        <v>0</v>
      </c>
      <c r="F5">
        <v>4</v>
      </c>
      <c r="G5">
        <v>0</v>
      </c>
      <c r="H5">
        <v>0</v>
      </c>
      <c r="I5">
        <v>0</v>
      </c>
      <c r="J5">
        <v>15</v>
      </c>
    </row>
    <row r="6" spans="1:10" x14ac:dyDescent="0.25">
      <c r="A6" s="5">
        <v>5</v>
      </c>
      <c r="B6" s="15">
        <v>26</v>
      </c>
      <c r="C6" s="5">
        <v>7</v>
      </c>
      <c r="D6" s="5">
        <v>0</v>
      </c>
      <c r="E6">
        <v>0</v>
      </c>
      <c r="F6">
        <v>0</v>
      </c>
      <c r="G6">
        <v>7</v>
      </c>
      <c r="H6">
        <v>1</v>
      </c>
      <c r="I6">
        <v>4</v>
      </c>
      <c r="J6">
        <v>7</v>
      </c>
    </row>
    <row r="7" spans="1:10" x14ac:dyDescent="0.25">
      <c r="A7" s="8">
        <v>6</v>
      </c>
      <c r="B7" s="15">
        <v>27</v>
      </c>
      <c r="C7" s="8">
        <v>18</v>
      </c>
      <c r="D7" s="8">
        <v>0</v>
      </c>
      <c r="E7">
        <v>2</v>
      </c>
      <c r="F7">
        <v>0</v>
      </c>
      <c r="G7">
        <v>2</v>
      </c>
      <c r="H7">
        <v>1</v>
      </c>
      <c r="I7">
        <v>0</v>
      </c>
      <c r="J7">
        <v>4</v>
      </c>
    </row>
    <row r="8" spans="1:10" x14ac:dyDescent="0.25">
      <c r="A8" s="5">
        <v>7</v>
      </c>
      <c r="B8" s="15">
        <v>14</v>
      </c>
      <c r="C8" s="5">
        <v>9</v>
      </c>
      <c r="D8" s="5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</row>
    <row r="9" spans="1:10" x14ac:dyDescent="0.25">
      <c r="A9" s="8">
        <v>8</v>
      </c>
      <c r="B9" s="15">
        <v>25</v>
      </c>
      <c r="C9" s="8">
        <v>0</v>
      </c>
      <c r="D9" s="8">
        <v>0</v>
      </c>
      <c r="E9">
        <v>0</v>
      </c>
      <c r="F9">
        <v>0</v>
      </c>
      <c r="G9">
        <v>0</v>
      </c>
      <c r="H9">
        <v>0</v>
      </c>
      <c r="I9">
        <v>9</v>
      </c>
      <c r="J9">
        <v>16</v>
      </c>
    </row>
    <row r="10" spans="1:10" x14ac:dyDescent="0.25">
      <c r="A10" s="5">
        <v>9</v>
      </c>
      <c r="B10" s="15">
        <v>36</v>
      </c>
      <c r="C10" s="5">
        <v>0</v>
      </c>
      <c r="D10" s="5">
        <v>0</v>
      </c>
      <c r="E10">
        <v>30</v>
      </c>
      <c r="F10">
        <v>2</v>
      </c>
      <c r="G10">
        <v>0</v>
      </c>
      <c r="H10">
        <v>1</v>
      </c>
      <c r="I10">
        <v>2</v>
      </c>
      <c r="J10">
        <v>1</v>
      </c>
    </row>
    <row r="11" spans="1:10" x14ac:dyDescent="0.25">
      <c r="A11" s="8">
        <v>10</v>
      </c>
      <c r="B11" s="15">
        <v>18</v>
      </c>
      <c r="C11" s="8">
        <v>0</v>
      </c>
      <c r="D11" s="8">
        <v>0</v>
      </c>
      <c r="E11">
        <v>0</v>
      </c>
      <c r="F11">
        <v>0</v>
      </c>
      <c r="G11">
        <v>0</v>
      </c>
      <c r="H11">
        <v>8</v>
      </c>
      <c r="I11">
        <v>10</v>
      </c>
      <c r="J11">
        <v>0</v>
      </c>
    </row>
    <row r="12" spans="1:10" x14ac:dyDescent="0.25">
      <c r="A12" s="5">
        <v>11</v>
      </c>
      <c r="B12" s="15">
        <v>24</v>
      </c>
      <c r="C12" s="5">
        <v>0</v>
      </c>
      <c r="D12" s="5">
        <v>0</v>
      </c>
      <c r="E12">
        <v>0</v>
      </c>
      <c r="F12">
        <v>10</v>
      </c>
      <c r="G12">
        <v>3</v>
      </c>
      <c r="H12">
        <v>5</v>
      </c>
      <c r="I12">
        <v>6</v>
      </c>
      <c r="J12">
        <v>0</v>
      </c>
    </row>
    <row r="13" spans="1:10" x14ac:dyDescent="0.25">
      <c r="A13" s="8">
        <v>12</v>
      </c>
      <c r="B13" s="15">
        <v>11</v>
      </c>
      <c r="C13" s="8">
        <v>3</v>
      </c>
      <c r="D13" s="8">
        <v>0</v>
      </c>
      <c r="E13">
        <v>6</v>
      </c>
      <c r="F13">
        <v>0</v>
      </c>
      <c r="G13">
        <v>1</v>
      </c>
      <c r="H13">
        <v>0</v>
      </c>
      <c r="I13">
        <v>0</v>
      </c>
      <c r="J13">
        <v>1</v>
      </c>
    </row>
    <row r="14" spans="1:10" x14ac:dyDescent="0.25">
      <c r="A14" s="5">
        <v>13</v>
      </c>
      <c r="B14" s="15">
        <v>17</v>
      </c>
      <c r="C14" s="5">
        <v>9</v>
      </c>
      <c r="D14" s="5">
        <v>0</v>
      </c>
      <c r="E14">
        <v>5</v>
      </c>
      <c r="F14">
        <v>0</v>
      </c>
      <c r="G14">
        <v>1</v>
      </c>
      <c r="H14">
        <v>0</v>
      </c>
      <c r="I14">
        <v>0</v>
      </c>
      <c r="J14">
        <v>2</v>
      </c>
    </row>
    <row r="15" spans="1:10" x14ac:dyDescent="0.25">
      <c r="A15" s="8">
        <v>14</v>
      </c>
      <c r="B15" s="15">
        <v>19</v>
      </c>
      <c r="C15" s="8">
        <v>9</v>
      </c>
      <c r="D15" s="8">
        <v>5</v>
      </c>
      <c r="E15">
        <v>2</v>
      </c>
      <c r="F15">
        <v>0</v>
      </c>
      <c r="G15">
        <v>1</v>
      </c>
      <c r="H15">
        <v>2</v>
      </c>
      <c r="I15">
        <v>0</v>
      </c>
      <c r="J15">
        <v>0</v>
      </c>
    </row>
    <row r="16" spans="1:10" x14ac:dyDescent="0.25">
      <c r="A16" s="5">
        <v>15</v>
      </c>
      <c r="B16" s="15">
        <v>20</v>
      </c>
      <c r="C16" s="5">
        <v>0</v>
      </c>
      <c r="D16" s="5">
        <v>5</v>
      </c>
      <c r="E16">
        <v>0</v>
      </c>
      <c r="F16">
        <v>11</v>
      </c>
      <c r="G16">
        <v>0</v>
      </c>
      <c r="H16">
        <v>0</v>
      </c>
      <c r="I16">
        <v>4</v>
      </c>
      <c r="J16">
        <v>0</v>
      </c>
    </row>
    <row r="17" spans="1:10" x14ac:dyDescent="0.25">
      <c r="A17" s="8">
        <v>16</v>
      </c>
      <c r="B17" s="15">
        <v>41</v>
      </c>
      <c r="C17" s="8">
        <v>28</v>
      </c>
      <c r="D17" s="8">
        <v>0</v>
      </c>
      <c r="E17">
        <v>4</v>
      </c>
      <c r="F17">
        <v>0</v>
      </c>
      <c r="G17">
        <v>2</v>
      </c>
      <c r="H17">
        <v>2</v>
      </c>
      <c r="I17">
        <v>0</v>
      </c>
      <c r="J17">
        <v>5</v>
      </c>
    </row>
    <row r="18" spans="1:10" x14ac:dyDescent="0.25">
      <c r="A18" s="5">
        <v>17</v>
      </c>
      <c r="B18" s="15">
        <v>13</v>
      </c>
      <c r="C18" s="5">
        <v>0</v>
      </c>
      <c r="D18" s="5">
        <v>0</v>
      </c>
      <c r="E18">
        <v>3</v>
      </c>
      <c r="F18">
        <v>0</v>
      </c>
      <c r="G18">
        <v>0</v>
      </c>
      <c r="H18">
        <v>6</v>
      </c>
      <c r="I18">
        <v>0</v>
      </c>
      <c r="J18">
        <v>4</v>
      </c>
    </row>
    <row r="19" spans="1:10" x14ac:dyDescent="0.25">
      <c r="A19" s="8">
        <v>18</v>
      </c>
      <c r="B19" s="15">
        <v>24</v>
      </c>
      <c r="C19" s="8">
        <v>0</v>
      </c>
      <c r="D19" s="8">
        <v>15</v>
      </c>
      <c r="E19">
        <v>7</v>
      </c>
      <c r="F19">
        <v>1</v>
      </c>
      <c r="G19">
        <v>1</v>
      </c>
      <c r="H19">
        <v>0</v>
      </c>
      <c r="I19">
        <v>0</v>
      </c>
      <c r="J19">
        <v>0</v>
      </c>
    </row>
    <row r="20" spans="1:10" x14ac:dyDescent="0.25">
      <c r="A20" s="5">
        <v>19</v>
      </c>
      <c r="B20" s="15">
        <v>16</v>
      </c>
      <c r="C20" s="5">
        <v>0</v>
      </c>
      <c r="D20" s="5">
        <v>11</v>
      </c>
      <c r="E20">
        <v>5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s="8">
        <v>20</v>
      </c>
      <c r="B21" s="15">
        <v>17</v>
      </c>
      <c r="C21" s="8">
        <v>0</v>
      </c>
      <c r="D21" s="8">
        <v>1</v>
      </c>
      <c r="E21">
        <v>0</v>
      </c>
      <c r="F21">
        <v>0</v>
      </c>
      <c r="G21">
        <v>13</v>
      </c>
      <c r="H21">
        <v>1</v>
      </c>
      <c r="I21">
        <v>1</v>
      </c>
      <c r="J21">
        <v>1</v>
      </c>
    </row>
    <row r="22" spans="1:10" x14ac:dyDescent="0.25">
      <c r="A22" s="5">
        <v>21</v>
      </c>
      <c r="B22" s="15">
        <v>9</v>
      </c>
      <c r="C22" s="5">
        <v>2</v>
      </c>
      <c r="D22" s="5">
        <v>0</v>
      </c>
      <c r="E22">
        <v>3</v>
      </c>
      <c r="F22">
        <v>0</v>
      </c>
      <c r="G22">
        <v>0</v>
      </c>
      <c r="H22">
        <v>0</v>
      </c>
      <c r="I22">
        <v>3</v>
      </c>
      <c r="J22">
        <v>1</v>
      </c>
    </row>
    <row r="23" spans="1:10" x14ac:dyDescent="0.25">
      <c r="A23" s="8">
        <v>22</v>
      </c>
      <c r="B23" s="15">
        <v>15</v>
      </c>
      <c r="C23" s="8">
        <v>0</v>
      </c>
      <c r="D23" s="8">
        <v>0</v>
      </c>
      <c r="E23">
        <v>6</v>
      </c>
      <c r="F23">
        <v>1</v>
      </c>
      <c r="G23">
        <v>6</v>
      </c>
      <c r="H23">
        <v>0</v>
      </c>
      <c r="I23">
        <v>1</v>
      </c>
      <c r="J23">
        <v>1</v>
      </c>
    </row>
    <row r="24" spans="1:10" x14ac:dyDescent="0.25">
      <c r="A24" s="5">
        <v>23</v>
      </c>
      <c r="B24" s="15">
        <v>31</v>
      </c>
      <c r="C24" s="5">
        <v>11</v>
      </c>
      <c r="D24" s="5">
        <v>0</v>
      </c>
      <c r="E24">
        <v>0</v>
      </c>
      <c r="F24">
        <v>0</v>
      </c>
      <c r="G24">
        <v>8</v>
      </c>
      <c r="H24">
        <v>0</v>
      </c>
      <c r="I24">
        <v>12</v>
      </c>
      <c r="J24">
        <v>0</v>
      </c>
    </row>
    <row r="25" spans="1:10" x14ac:dyDescent="0.25">
      <c r="A25" s="8">
        <v>24</v>
      </c>
      <c r="B25" s="15">
        <v>18</v>
      </c>
      <c r="C25" s="8">
        <v>0</v>
      </c>
      <c r="D25" s="8">
        <v>3</v>
      </c>
      <c r="E25">
        <v>0</v>
      </c>
      <c r="F25">
        <v>0</v>
      </c>
      <c r="G25">
        <v>0</v>
      </c>
      <c r="H25">
        <v>2</v>
      </c>
      <c r="I25">
        <v>0</v>
      </c>
      <c r="J25">
        <v>13</v>
      </c>
    </row>
    <row r="26" spans="1:10" x14ac:dyDescent="0.25">
      <c r="A26" s="5">
        <v>25</v>
      </c>
      <c r="B26" s="15">
        <v>24</v>
      </c>
      <c r="C26" s="5">
        <v>0</v>
      </c>
      <c r="D26" s="5">
        <v>0</v>
      </c>
      <c r="E26">
        <v>2</v>
      </c>
      <c r="F26">
        <v>0</v>
      </c>
      <c r="G26">
        <v>1</v>
      </c>
      <c r="H26">
        <v>0</v>
      </c>
      <c r="I26">
        <v>0</v>
      </c>
      <c r="J26">
        <v>21</v>
      </c>
    </row>
    <row r="27" spans="1:10" x14ac:dyDescent="0.25">
      <c r="A27" s="8">
        <v>26</v>
      </c>
      <c r="B27" s="15">
        <v>16</v>
      </c>
      <c r="C27" s="8">
        <v>0</v>
      </c>
      <c r="D27" s="8">
        <v>0</v>
      </c>
      <c r="E27">
        <v>0</v>
      </c>
      <c r="F27">
        <v>0</v>
      </c>
      <c r="G27">
        <v>0</v>
      </c>
      <c r="H27">
        <v>5</v>
      </c>
      <c r="I27">
        <v>11</v>
      </c>
      <c r="J27">
        <v>0</v>
      </c>
    </row>
    <row r="28" spans="1:10" x14ac:dyDescent="0.25">
      <c r="A28" s="5">
        <v>27</v>
      </c>
      <c r="B28" s="15">
        <v>27</v>
      </c>
      <c r="C28" s="5">
        <v>0</v>
      </c>
      <c r="D28" s="5">
        <v>0</v>
      </c>
      <c r="E28">
        <v>7</v>
      </c>
      <c r="F28">
        <v>0</v>
      </c>
      <c r="G28">
        <v>2</v>
      </c>
      <c r="H28">
        <v>0</v>
      </c>
      <c r="I28">
        <v>0</v>
      </c>
      <c r="J28">
        <v>18</v>
      </c>
    </row>
    <row r="29" spans="1:10" x14ac:dyDescent="0.25">
      <c r="A29" s="8">
        <v>28</v>
      </c>
      <c r="B29" s="15">
        <v>14</v>
      </c>
      <c r="C29" s="8">
        <v>0</v>
      </c>
      <c r="D29" s="8">
        <v>0</v>
      </c>
      <c r="E29">
        <v>6</v>
      </c>
      <c r="F29">
        <v>0</v>
      </c>
      <c r="G29">
        <v>2</v>
      </c>
      <c r="H29">
        <v>3</v>
      </c>
      <c r="I29">
        <v>2</v>
      </c>
      <c r="J29">
        <v>1</v>
      </c>
    </row>
    <row r="30" spans="1:10" x14ac:dyDescent="0.25">
      <c r="A30" s="5">
        <v>29</v>
      </c>
      <c r="B30" s="15">
        <v>10</v>
      </c>
      <c r="C30" s="5">
        <v>9</v>
      </c>
      <c r="D30" s="5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</row>
    <row r="31" spans="1:10" x14ac:dyDescent="0.25">
      <c r="A31" s="8">
        <v>30</v>
      </c>
      <c r="B31" s="15">
        <v>31</v>
      </c>
      <c r="C31" s="8">
        <v>13</v>
      </c>
      <c r="D31" s="8">
        <v>0</v>
      </c>
      <c r="E31">
        <v>6</v>
      </c>
      <c r="F31">
        <v>7</v>
      </c>
      <c r="G31">
        <v>0</v>
      </c>
      <c r="H31">
        <v>1</v>
      </c>
      <c r="I31">
        <v>4</v>
      </c>
      <c r="J31">
        <v>0</v>
      </c>
    </row>
    <row r="32" spans="1:10" x14ac:dyDescent="0.25">
      <c r="A32" s="5">
        <v>31</v>
      </c>
      <c r="B32" s="15">
        <v>18</v>
      </c>
      <c r="C32" s="5">
        <v>4</v>
      </c>
      <c r="D32" s="5">
        <v>0</v>
      </c>
      <c r="E32">
        <v>0</v>
      </c>
      <c r="F32">
        <v>0</v>
      </c>
      <c r="G32">
        <v>14</v>
      </c>
      <c r="H32">
        <v>0</v>
      </c>
      <c r="I32">
        <v>0</v>
      </c>
      <c r="J32">
        <v>0</v>
      </c>
    </row>
    <row r="33" spans="1:10" x14ac:dyDescent="0.25">
      <c r="A33" s="8">
        <v>32</v>
      </c>
      <c r="B33" s="15">
        <v>29</v>
      </c>
      <c r="C33" s="8">
        <v>4</v>
      </c>
      <c r="D33" s="8">
        <v>0</v>
      </c>
      <c r="E33">
        <v>11</v>
      </c>
      <c r="F33">
        <v>0</v>
      </c>
      <c r="G33">
        <v>12</v>
      </c>
      <c r="H33">
        <v>1</v>
      </c>
      <c r="I33">
        <v>0</v>
      </c>
      <c r="J33">
        <v>1</v>
      </c>
    </row>
    <row r="34" spans="1:10" x14ac:dyDescent="0.25">
      <c r="A34" s="5">
        <v>33</v>
      </c>
      <c r="B34" s="15">
        <v>11</v>
      </c>
      <c r="C34" s="5">
        <v>0</v>
      </c>
      <c r="D34" s="5">
        <v>0</v>
      </c>
      <c r="E34">
        <v>8</v>
      </c>
      <c r="F34">
        <v>0</v>
      </c>
      <c r="G34">
        <v>3</v>
      </c>
      <c r="H34">
        <v>0</v>
      </c>
      <c r="I34">
        <v>0</v>
      </c>
      <c r="J34">
        <v>0</v>
      </c>
    </row>
    <row r="35" spans="1:10" x14ac:dyDescent="0.25">
      <c r="A35" s="8">
        <v>34</v>
      </c>
      <c r="B35" s="15">
        <v>32</v>
      </c>
      <c r="C35" s="8">
        <v>0</v>
      </c>
      <c r="D35" s="8">
        <v>4</v>
      </c>
      <c r="E35">
        <v>22</v>
      </c>
      <c r="F35">
        <v>0</v>
      </c>
      <c r="G35">
        <v>0</v>
      </c>
      <c r="H35">
        <v>4</v>
      </c>
      <c r="I35">
        <v>2</v>
      </c>
      <c r="J35">
        <v>0</v>
      </c>
    </row>
    <row r="36" spans="1:10" x14ac:dyDescent="0.25">
      <c r="A36" s="5">
        <v>35</v>
      </c>
      <c r="B36" s="15">
        <v>19</v>
      </c>
      <c r="C36" s="5">
        <v>0</v>
      </c>
      <c r="D36" s="5">
        <v>0</v>
      </c>
      <c r="E36">
        <v>9</v>
      </c>
      <c r="F36">
        <v>0</v>
      </c>
      <c r="G36">
        <v>0</v>
      </c>
      <c r="H36">
        <v>10</v>
      </c>
      <c r="I36">
        <v>0</v>
      </c>
      <c r="J36">
        <v>0</v>
      </c>
    </row>
    <row r="37" spans="1:10" x14ac:dyDescent="0.25">
      <c r="A37" s="8">
        <v>36</v>
      </c>
      <c r="B37" s="15">
        <v>30</v>
      </c>
      <c r="C37" s="8">
        <v>1</v>
      </c>
      <c r="D37" s="8">
        <v>0</v>
      </c>
      <c r="E37">
        <v>0</v>
      </c>
      <c r="F37">
        <v>0</v>
      </c>
      <c r="G37">
        <v>0</v>
      </c>
      <c r="H37">
        <v>29</v>
      </c>
      <c r="I37">
        <v>0</v>
      </c>
      <c r="J37">
        <v>0</v>
      </c>
    </row>
    <row r="38" spans="1:10" x14ac:dyDescent="0.25">
      <c r="A38" s="5">
        <v>37</v>
      </c>
      <c r="B38" s="15">
        <v>36</v>
      </c>
      <c r="C38" s="5">
        <v>11</v>
      </c>
      <c r="D38" s="5">
        <v>0</v>
      </c>
      <c r="E38">
        <v>0</v>
      </c>
      <c r="F38">
        <v>12</v>
      </c>
      <c r="G38">
        <v>9</v>
      </c>
      <c r="H38">
        <v>4</v>
      </c>
      <c r="I38">
        <v>0</v>
      </c>
      <c r="J38">
        <v>0</v>
      </c>
    </row>
    <row r="39" spans="1:10" x14ac:dyDescent="0.25">
      <c r="A39" s="8">
        <v>38</v>
      </c>
      <c r="B39" s="15">
        <v>23</v>
      </c>
      <c r="C39" s="8">
        <v>0</v>
      </c>
      <c r="D39" s="8">
        <v>5</v>
      </c>
      <c r="E39">
        <v>0</v>
      </c>
      <c r="F39">
        <v>0</v>
      </c>
      <c r="G39">
        <v>0</v>
      </c>
      <c r="H39">
        <v>8</v>
      </c>
      <c r="I39">
        <v>5</v>
      </c>
      <c r="J39">
        <v>5</v>
      </c>
    </row>
    <row r="40" spans="1:10" x14ac:dyDescent="0.25">
      <c r="A40" s="5">
        <v>39</v>
      </c>
      <c r="B40" s="15">
        <v>39</v>
      </c>
      <c r="C40" s="5">
        <v>0</v>
      </c>
      <c r="D40" s="5">
        <v>0</v>
      </c>
      <c r="E40">
        <v>0</v>
      </c>
      <c r="F40">
        <v>31</v>
      </c>
      <c r="G40">
        <v>0</v>
      </c>
      <c r="H40">
        <v>0</v>
      </c>
      <c r="I40">
        <v>0</v>
      </c>
      <c r="J40">
        <v>8</v>
      </c>
    </row>
    <row r="41" spans="1:10" x14ac:dyDescent="0.25">
      <c r="A41" s="8">
        <v>40</v>
      </c>
      <c r="B41" s="15">
        <v>16</v>
      </c>
      <c r="C41" s="8">
        <v>0</v>
      </c>
      <c r="D41" s="8">
        <v>13</v>
      </c>
      <c r="E41">
        <v>0</v>
      </c>
      <c r="F41">
        <v>1</v>
      </c>
      <c r="G41">
        <v>2</v>
      </c>
      <c r="H41">
        <v>0</v>
      </c>
      <c r="I41">
        <v>0</v>
      </c>
      <c r="J41">
        <v>0</v>
      </c>
    </row>
    <row r="42" spans="1:10" x14ac:dyDescent="0.25">
      <c r="A42" s="5">
        <v>41</v>
      </c>
      <c r="B42" s="15">
        <v>22</v>
      </c>
      <c r="C42" s="5">
        <v>8</v>
      </c>
      <c r="D42" s="5">
        <v>1</v>
      </c>
      <c r="E42">
        <v>7</v>
      </c>
      <c r="F42">
        <v>0</v>
      </c>
      <c r="G42">
        <v>5</v>
      </c>
      <c r="H42">
        <v>0</v>
      </c>
      <c r="I42">
        <v>0</v>
      </c>
      <c r="J42">
        <v>1</v>
      </c>
    </row>
    <row r="43" spans="1:10" x14ac:dyDescent="0.25">
      <c r="A43" s="8">
        <v>42</v>
      </c>
      <c r="B43" s="15">
        <v>14</v>
      </c>
      <c r="C43" s="8">
        <v>0</v>
      </c>
      <c r="D43" s="8">
        <v>0</v>
      </c>
      <c r="E43">
        <v>0</v>
      </c>
      <c r="F43">
        <v>0</v>
      </c>
      <c r="G43">
        <v>0</v>
      </c>
      <c r="H43">
        <v>12</v>
      </c>
      <c r="I43">
        <v>1</v>
      </c>
      <c r="J43">
        <v>1</v>
      </c>
    </row>
    <row r="44" spans="1:10" x14ac:dyDescent="0.25">
      <c r="A44" s="5">
        <v>43</v>
      </c>
      <c r="B44" s="15">
        <v>30</v>
      </c>
      <c r="C44" s="5">
        <v>11</v>
      </c>
      <c r="D44" s="5">
        <v>0</v>
      </c>
      <c r="E44">
        <v>0</v>
      </c>
      <c r="F44">
        <v>0</v>
      </c>
      <c r="G44">
        <v>16</v>
      </c>
      <c r="H44">
        <v>0</v>
      </c>
      <c r="I44">
        <v>0</v>
      </c>
      <c r="J44">
        <v>3</v>
      </c>
    </row>
    <row r="45" spans="1:10" x14ac:dyDescent="0.25">
      <c r="A45" s="8">
        <v>44</v>
      </c>
      <c r="B45" s="15">
        <v>36</v>
      </c>
      <c r="C45" s="8">
        <v>9</v>
      </c>
      <c r="D45" s="8">
        <v>0</v>
      </c>
      <c r="E45">
        <v>1</v>
      </c>
      <c r="F45">
        <v>0</v>
      </c>
      <c r="G45">
        <v>0</v>
      </c>
      <c r="H45">
        <v>0</v>
      </c>
      <c r="I45">
        <v>7</v>
      </c>
      <c r="J45">
        <v>19</v>
      </c>
    </row>
    <row r="46" spans="1:10" x14ac:dyDescent="0.25">
      <c r="A46" s="5">
        <v>45</v>
      </c>
      <c r="B46" s="15">
        <v>28</v>
      </c>
      <c r="C46" s="5">
        <v>5</v>
      </c>
      <c r="D46" s="5">
        <v>0</v>
      </c>
      <c r="E46">
        <v>3</v>
      </c>
      <c r="F46">
        <v>0</v>
      </c>
      <c r="G46">
        <v>0</v>
      </c>
      <c r="H46">
        <v>0</v>
      </c>
      <c r="I46">
        <v>5</v>
      </c>
      <c r="J46">
        <v>15</v>
      </c>
    </row>
    <row r="47" spans="1:10" x14ac:dyDescent="0.25">
      <c r="A47" s="8">
        <v>46</v>
      </c>
      <c r="B47" s="15">
        <v>29</v>
      </c>
      <c r="C47" s="8">
        <v>0</v>
      </c>
      <c r="D47" s="8">
        <v>5</v>
      </c>
      <c r="E47">
        <v>24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s="8">
        <v>47</v>
      </c>
      <c r="B48" s="15">
        <v>30</v>
      </c>
      <c r="C48" s="8">
        <v>0</v>
      </c>
      <c r="D48" s="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30</v>
      </c>
    </row>
    <row r="49" spans="1:10" x14ac:dyDescent="0.25">
      <c r="A49" s="8">
        <v>48</v>
      </c>
      <c r="B49" s="15">
        <v>40</v>
      </c>
      <c r="C49" s="8">
        <v>0</v>
      </c>
      <c r="D49" s="8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40</v>
      </c>
    </row>
    <row r="50" spans="1:10" x14ac:dyDescent="0.25">
      <c r="A50" s="8">
        <v>49</v>
      </c>
      <c r="B50" s="15">
        <v>25</v>
      </c>
      <c r="C50" s="8">
        <v>0</v>
      </c>
      <c r="D50" s="8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25</v>
      </c>
    </row>
    <row r="51" spans="1:10" x14ac:dyDescent="0.25">
      <c r="A51" s="8">
        <v>50</v>
      </c>
      <c r="B51" s="15">
        <v>35</v>
      </c>
      <c r="C51" s="8">
        <v>0</v>
      </c>
      <c r="D51" s="8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35</v>
      </c>
    </row>
    <row r="52" spans="1:10" x14ac:dyDescent="0.25">
      <c r="A52" s="8">
        <v>51</v>
      </c>
      <c r="B52" s="15">
        <v>25</v>
      </c>
      <c r="C52" s="8">
        <v>0</v>
      </c>
      <c r="D52" s="8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25</v>
      </c>
    </row>
    <row r="53" spans="1:10" x14ac:dyDescent="0.25">
      <c r="B53">
        <f t="shared" ref="B53:J53" si="0">SUM(B2:B52)</f>
        <v>1193</v>
      </c>
      <c r="C53">
        <f t="shared" si="0"/>
        <v>171</v>
      </c>
      <c r="D53">
        <f t="shared" si="0"/>
        <v>90</v>
      </c>
      <c r="E53">
        <f t="shared" si="0"/>
        <v>179</v>
      </c>
      <c r="F53">
        <f t="shared" si="0"/>
        <v>100</v>
      </c>
      <c r="G53">
        <f t="shared" si="0"/>
        <v>111</v>
      </c>
      <c r="H53">
        <f t="shared" si="0"/>
        <v>119</v>
      </c>
      <c r="I53">
        <f t="shared" si="0"/>
        <v>99</v>
      </c>
      <c r="J53">
        <f t="shared" si="0"/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Fanilo Randrianasolo</dc:creator>
  <cp:lastModifiedBy>Tojo RATSIMBARISON</cp:lastModifiedBy>
  <dcterms:created xsi:type="dcterms:W3CDTF">2026-05-17T20:17:14Z</dcterms:created>
  <dcterms:modified xsi:type="dcterms:W3CDTF">2026-05-18T20:23:39Z</dcterms:modified>
</cp:coreProperties>
</file>